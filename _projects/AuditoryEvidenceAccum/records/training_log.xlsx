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375" windowWidth="23160" xWindow="0" yWindow="0"/>
  </bookViews>
  <sheets>
    <sheet name="UM001" sheetId="1" state="visible" r:id="rId1"/>
    <sheet name="test_stage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formatCode="0.0%" numFmtId="164"/>
  </numFmts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b val="1"/>
      <sz val="11"/>
    </font>
    <font>
      <b val="1"/>
      <sz val="12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2" numFmtId="0" pivotButton="0" quotePrefix="0" xfId="0">
      <alignment wrapText="1"/>
    </xf>
    <xf borderId="0" fillId="0" fontId="0" numFmtId="9" pivotButton="0" quotePrefix="0" xfId="0"/>
    <xf borderId="0" fillId="0" fontId="0" numFmtId="164" pivotButton="0" quotePrefix="0" xfId="0"/>
    <xf borderId="0" fillId="2" fontId="3" numFmtId="0" pivotButton="0" quotePrefix="0" xfId="0"/>
    <xf borderId="0" fillId="2" fontId="0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0" fillId="0" fontId="5" numFmtId="0" pivotButton="0" quotePrefix="0" xfId="0">
      <alignment vertical="bottom" wrapText="1"/>
    </xf>
    <xf borderId="0" fillId="3" fontId="6" numFmtId="0" pivotButton="0" quotePrefix="0" xfId="0"/>
    <xf borderId="0" fillId="3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tabSelected="1" workbookViewId="0">
      <pane activePane="bottomLeft" state="frozen" topLeftCell="A8" ySplit="7"/>
      <selection activeCell="F19" pane="bottomLeft" sqref="F19"/>
    </sheetView>
  </sheetViews>
  <sheetFormatPr baseColWidth="8" defaultRowHeight="15"/>
  <cols>
    <col customWidth="1" max="48" min="1" width="14"/>
    <col customWidth="1" max="2" min="2" width="14"/>
    <col customWidth="1" max="3" min="3" width="14"/>
    <col customWidth="1" max="4" min="4" width="14"/>
    <col customWidth="1" max="5" min="5" width="14"/>
    <col customWidth="1" max="6" min="6" width="14"/>
    <col customWidth="1" max="7" min="7" width="14"/>
    <col customWidth="1" max="8" min="8" width="14"/>
    <col customWidth="1" max="9" min="9" width="14"/>
    <col customWidth="1" max="10" min="10" width="14"/>
    <col customWidth="1" max="11" min="11" width="14"/>
    <col customWidth="1" max="12" min="12" width="14"/>
    <col customWidth="1" max="13" min="13" width="14"/>
    <col customWidth="1" max="14" min="14" width="14"/>
    <col customWidth="1" max="15" min="15" width="14"/>
    <col customWidth="1" max="16" min="16" width="14"/>
    <col customWidth="1" max="17" min="17" width="14"/>
    <col customWidth="1" max="18" min="18" width="14"/>
    <col customWidth="1" max="19" min="19" width="14"/>
    <col customWidth="1" max="20" min="20" width="14"/>
    <col customWidth="1" max="21" min="21" width="14"/>
    <col customWidth="1" max="22" min="22" width="14"/>
    <col customWidth="1" max="23" min="23" width="14"/>
    <col customWidth="1" max="24" min="24" width="14"/>
    <col customWidth="1" max="25" min="25" width="14"/>
    <col customWidth="1" max="26" min="26" width="14"/>
    <col customWidth="1" max="27" min="27" width="14"/>
    <col customWidth="1" max="28" min="28" width="14"/>
    <col customWidth="1" max="29" min="29" width="14"/>
    <col customWidth="1" max="30" min="30" width="14"/>
    <col customWidth="1" max="31" min="31" width="14"/>
    <col customWidth="1" max="32" min="32" width="14"/>
    <col customWidth="1" max="33" min="33" width="14"/>
    <col customWidth="1" max="34" min="34" width="14"/>
    <col customWidth="1" max="35" min="35" width="14"/>
    <col customWidth="1" max="36" min="36" width="14"/>
    <col customWidth="1" max="37" min="37" width="14"/>
    <col customWidth="1" max="38" min="38" width="14"/>
    <col customWidth="1" max="39" min="39" width="14"/>
    <col customWidth="1" max="40" min="40" width="14"/>
    <col customWidth="1" max="41" min="41" width="14"/>
    <col customWidth="1" max="42" min="42" width="14"/>
    <col customWidth="1" max="43" min="43" width="14"/>
    <col customWidth="1" max="44" min="44" width="14"/>
    <col customWidth="1" max="45" min="45" width="14"/>
    <col customWidth="1" max="46" min="46" width="14"/>
    <col customWidth="1" max="47" min="47" width="14"/>
    <col customWidth="1" max="48" min="48" width="14"/>
    <col customWidth="1" max="49" min="49" width="14"/>
    <col customWidth="1" hidden="1" max="51" min="50" width="14"/>
    <col customWidth="1" max="51" min="51" width="14"/>
    <col customWidth="1" max="52" min="52" width="14"/>
  </cols>
  <sheetData>
    <row customHeight="1" ht="15.75" r="1">
      <c r="A1" s="1" t="inlineStr">
        <is>
          <t>Animal: UM001</t>
        </is>
      </c>
    </row>
    <row r="2">
      <c r="A2" s="2" t="inlineStr">
        <is>
          <t>DOB</t>
        </is>
      </c>
      <c r="B2" t="inlineStr">
        <is>
          <t>25.06.2026</t>
        </is>
      </c>
    </row>
    <row r="3">
      <c r="A3" s="2" t="inlineStr">
        <is>
          <t>Sex</t>
        </is>
      </c>
      <c r="B3" t="inlineStr">
        <is>
          <t>Male</t>
        </is>
      </c>
    </row>
    <row r="4">
      <c r="A4" s="2" t="inlineStr">
        <is>
          <t>Strain</t>
        </is>
      </c>
      <c r="B4" t="inlineStr">
        <is>
          <t>C57BL/6</t>
        </is>
      </c>
    </row>
    <row r="5">
      <c r="A5" s="2" t="inlineStr">
        <is>
          <t>Baseline weight (g)</t>
        </is>
      </c>
      <c r="B5" t="inlineStr">
        <is>
          <t>28</t>
        </is>
      </c>
    </row>
    <row customHeight="1" ht="45" r="7">
      <c r="A7" s="10" t="inlineStr">
        <is>
          <t>Date</t>
        </is>
      </c>
      <c r="B7" s="10" t="inlineStr">
        <is>
          <t>Time (HH:MM)</t>
        </is>
      </c>
      <c r="C7" s="10" t="inlineStr">
        <is>
          <t>Weight (g)</t>
        </is>
      </c>
      <c r="D7" s="10" t="inlineStr">
        <is>
          <t>Weight %</t>
        </is>
      </c>
      <c r="E7" s="10" t="inlineStr">
        <is>
          <t>Weight after task (g)</t>
        </is>
      </c>
      <c r="F7" s="10" t="inlineStr">
        <is>
          <t>Weight after task %</t>
        </is>
      </c>
      <c r="G7" s="10" t="inlineStr">
        <is>
          <t>Water given by hand after task</t>
        </is>
      </c>
      <c r="H7" s="10" t="inlineStr">
        <is>
          <t>Trials</t>
        </is>
      </c>
      <c r="I7" s="10" t="inlineStr">
        <is>
          <t>Duration (s)</t>
        </is>
      </c>
      <c r="J7" s="10" t="inlineStr">
        <is>
          <t>Reward Amount (uL)</t>
        </is>
      </c>
      <c r="K7" s="10" t="inlineStr">
        <is>
          <t>Water Consumed (uL)</t>
        </is>
      </c>
      <c r="L7" s="10" t="inlineStr">
        <is>
          <t>Water Delivered (uL)</t>
        </is>
      </c>
      <c r="M7" s="10" t="inlineStr">
        <is>
          <t>Aborts</t>
        </is>
      </c>
      <c r="N7" s="10" t="inlineStr">
        <is>
          <t>Withheld</t>
        </is>
      </c>
      <c r="O7" s="10" t="inlineStr">
        <is>
          <t>No-movement</t>
        </is>
      </c>
      <c r="P7" s="10" t="inlineStr">
        <is>
          <t>Incorrect</t>
        </is>
      </c>
      <c r="Q7" s="10" t="inlineStr">
        <is>
          <t>Wheel Aborts</t>
        </is>
      </c>
      <c r="R7" s="10" t="inlineStr">
        <is>
          <t>L turns</t>
        </is>
      </c>
      <c r="S7" s="10" t="inlineStr">
        <is>
          <t>R turns</t>
        </is>
      </c>
      <c r="T7" s="10" t="inlineStr">
        <is>
          <t>Licks</t>
        </is>
      </c>
      <c r="U7" s="10" t="inlineStr">
        <is>
          <t>Threshold start (deg)</t>
        </is>
      </c>
      <c r="V7" s="10" t="inlineStr">
        <is>
          <t>Threshold end (deg)</t>
        </is>
      </c>
      <c r="W7" s="10" t="inlineStr">
        <is>
          <t>Threshold end (% final)</t>
        </is>
      </c>
      <c r="X7" s="10" t="inlineStr">
        <is>
          <t>ITI (s)</t>
        </is>
      </c>
      <c r="Y7" s="10" t="inlineStr">
        <is>
          <t>Gain mult (Stage 1)</t>
        </is>
      </c>
      <c r="Z7" s="10" t="inlineStr">
        <is>
          <t>Direction ratio (Stage 2)</t>
        </is>
      </c>
      <c r="AA7" s="10" t="inlineStr">
        <is>
          <t>Simple gates met</t>
        </is>
      </c>
      <c r="AB7" s="10" t="inlineStr">
        <is>
          <t>Response Thresh Start (deg)</t>
        </is>
      </c>
      <c r="AC7" s="10" t="inlineStr">
        <is>
          <t>Response Thresh End (deg)</t>
        </is>
      </c>
      <c r="AD7" s="10" t="inlineStr">
        <is>
          <t>Quiescence Start (s)</t>
        </is>
      </c>
      <c r="AE7" s="10" t="inlineStr">
        <is>
          <t>Quiescence End (s)</t>
        </is>
      </c>
      <c r="AF7" s="10" t="inlineStr">
        <is>
          <t>In-trial Threshold (deg)</t>
        </is>
      </c>
      <c r="AG7" s="10" t="inlineStr">
        <is>
          <t>Click Attenuated (Stage 4)</t>
        </is>
      </c>
      <c r="AH7" s="10" t="inlineStr">
        <is>
          <t>Accuracy (gamma=1.0)</t>
        </is>
      </c>
      <c r="AI7" s="10" t="inlineStr">
        <is>
          <t>Abort Rate</t>
        </is>
      </c>
      <c r="AJ7" s="10" t="inlineStr">
        <is>
          <t>Aborts: Quiescence</t>
        </is>
      </c>
      <c r="AK7" s="10" t="inlineStr">
        <is>
          <t>Aborts: Cue</t>
        </is>
      </c>
      <c r="AL7" s="10" t="inlineStr">
        <is>
          <t>Aborts: Delay</t>
        </is>
      </c>
      <c r="AM7" s="10" t="inlineStr">
        <is>
          <t>Aborts: Response</t>
        </is>
      </c>
      <c r="AN7" s="10" t="inlineStr">
        <is>
          <t>Warmup Trials</t>
        </is>
      </c>
      <c r="AO7" s="10" t="inlineStr">
        <is>
          <t>Repeat Trials</t>
        </is>
      </c>
      <c r="AP7" s="10" t="inlineStr">
        <is>
          <t>Session Water (uL)</t>
        </is>
      </c>
      <c r="AQ7" s="10" t="inlineStr">
        <is>
          <t>Staircase Advanced (Stage 5)</t>
        </is>
      </c>
      <c r="AR7" s="10" t="inlineStr">
        <is>
          <t>Git Commit</t>
        </is>
      </c>
      <c r="AS7" s="10" t="inlineStr">
        <is>
          <t>Target SPL (dB)</t>
        </is>
      </c>
      <c r="AT7" s="10" t="inlineStr">
        <is>
          <t>Left Freq (Hz)</t>
        </is>
      </c>
      <c r="AU7" s="10" t="inlineStr">
        <is>
          <t>Right Freq (Hz)</t>
        </is>
      </c>
      <c r="AV7" s="10" t="inlineStr">
        <is>
          <t>Num. Sessions</t>
        </is>
      </c>
      <c r="AW7" s="10" t="inlineStr">
        <is>
          <t>Notes</t>
        </is>
      </c>
      <c r="AX7" s="10" t="inlineStr">
        <is>
          <t>Session started</t>
        </is>
      </c>
      <c r="AY7" s="10" t="inlineStr">
        <is>
          <t>Session data (local path)</t>
        </is>
      </c>
      <c r="AZ7" s="10" t="inlineStr">
        <is>
          <t>Session struct (local path)</t>
        </is>
      </c>
    </row>
    <row r="8">
      <c r="A8" s="11" t="inlineStr">
        <is>
          <t>Stage 1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</row>
    <row r="9">
      <c r="A9" t="inlineStr">
        <is>
          <t>2026-10-21</t>
        </is>
      </c>
      <c r="B9" t="inlineStr">
        <is>
          <t>15:22</t>
        </is>
      </c>
      <c r="C9" t="n">
        <v>24.6</v>
      </c>
      <c r="D9" s="5">
        <f>IFERROR(C9/$B$5,"")</f>
        <v/>
      </c>
      <c r="E9" t="n">
        <v>25.2</v>
      </c>
      <c r="F9" s="5">
        <f>IFERROR(E9/$B$5,"")</f>
        <v/>
      </c>
      <c r="G9" t="b">
        <v>0</v>
      </c>
      <c r="H9" t="n">
        <v>214</v>
      </c>
      <c r="I9" t="n">
        <v>10.4995</v>
      </c>
      <c r="J9" t="n">
        <v>7</v>
      </c>
      <c r="K9" t="n">
        <v>777</v>
      </c>
      <c r="L9" t="n">
        <v>973</v>
      </c>
      <c r="M9" t="n">
        <v>222</v>
      </c>
      <c r="N9" t="n">
        <v>0</v>
      </c>
      <c r="O9" t="n">
        <v>75</v>
      </c>
      <c r="P9" t="n">
        <v>0</v>
      </c>
      <c r="Q9" t="n">
        <v>0</v>
      </c>
      <c r="R9" t="n">
        <v>69</v>
      </c>
      <c r="S9" t="n">
        <v>70</v>
      </c>
      <c r="T9" t="n">
        <v>159</v>
      </c>
      <c r="U9" t="n">
        <v>3.5</v>
      </c>
      <c r="V9" t="n">
        <v>3.5</v>
      </c>
      <c r="W9" s="4" t="n">
        <v>0.1</v>
      </c>
      <c r="X9" t="n">
        <v>0.5</v>
      </c>
      <c r="Y9" t="n">
        <v>3</v>
      </c>
      <c r="AI9" s="4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W9" t="inlineStr">
        <is>
          <t>the stopping has helped, initially was bad but once paws hit the wheel it was good</t>
        </is>
      </c>
      <c r="AX9" t="inlineStr">
        <is>
          <t>2026-10-21 15:22:36.631959</t>
        </is>
      </c>
      <c r="AY9" t="inlineStr">
        <is>
          <t>C:\Ugurcan\Experimental-Tasks\_projects\AuditoryEvidenceAccum\experiments\Stage1\setups\Stage1\sessions\20261021-152235\20261021-152235.csv</t>
        </is>
      </c>
      <c r="AZ9" t="inlineStr">
        <is>
          <t>C:\Ugurcan\Experimental-Tasks\_projects\AuditoryEvidenceAccum\experiments\Stage1\setups\Stage1\sessions\20261021-152235\20261021-152235_struct.mat</t>
        </is>
      </c>
    </row>
    <row r="10">
      <c r="A10" t="inlineStr">
        <is>
          <t>2026-10-22</t>
        </is>
      </c>
      <c r="B10" t="inlineStr">
        <is>
          <t>13:57</t>
        </is>
      </c>
      <c r="C10" t="n">
        <v>24</v>
      </c>
      <c r="D10" s="5">
        <f>IFERROR(C10/$B$5,"")</f>
        <v/>
      </c>
      <c r="E10" t="n">
        <v>24.5</v>
      </c>
      <c r="F10" s="5">
        <f>IFERROR(E10/$B$5,"")</f>
        <v/>
      </c>
      <c r="G10" t="b">
        <v>0</v>
      </c>
      <c r="H10" t="n">
        <v>62</v>
      </c>
      <c r="I10" t="n">
        <v>10.4986</v>
      </c>
      <c r="J10" t="n">
        <v>10</v>
      </c>
      <c r="K10" t="n">
        <v>520</v>
      </c>
      <c r="L10" t="n">
        <v>520</v>
      </c>
      <c r="M10" t="n">
        <v>387</v>
      </c>
      <c r="N10" t="n">
        <v>0</v>
      </c>
      <c r="O10" t="n">
        <v>10</v>
      </c>
      <c r="P10" t="n">
        <v>0</v>
      </c>
      <c r="Q10" t="n">
        <v>0</v>
      </c>
      <c r="R10" t="n">
        <v>22</v>
      </c>
      <c r="S10" t="n">
        <v>30</v>
      </c>
      <c r="T10" t="n">
        <v>247</v>
      </c>
      <c r="U10" t="n">
        <v>4.2</v>
      </c>
      <c r="V10" t="n">
        <v>4.2</v>
      </c>
      <c r="W10" s="4" t="n">
        <v>0.12</v>
      </c>
      <c r="X10" t="n">
        <v>0.4999999999999999</v>
      </c>
      <c r="Y10" t="n">
        <v>2.9</v>
      </c>
      <c r="AI10" s="4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X10" t="inlineStr">
        <is>
          <t>2026-10-22 13:57:06.324806</t>
        </is>
      </c>
      <c r="AY10" t="inlineStr">
        <is>
          <t>C:\Ugurcan\Experimental-Tasks\_projects\AuditoryEvidenceAccum\experiments\Stage1\setups\Stage1\sessions\20261022-135705\20261022-135705.csv</t>
        </is>
      </c>
      <c r="AZ10" t="inlineStr">
        <is>
          <t>C:\Ugurcan\Experimental-Tasks\_projects\AuditoryEvidenceAccum\experiments\Stage1\setups\Stage1\sessions\20261022-135705\20261022-135705_struct.mat</t>
        </is>
      </c>
    </row>
    <row r="11">
      <c r="A11" t="inlineStr">
        <is>
          <t>2026-10-22</t>
        </is>
      </c>
      <c r="B11" t="inlineStr">
        <is>
          <t>14:02</t>
        </is>
      </c>
      <c r="C11" t="n">
        <v>24</v>
      </c>
      <c r="D11" s="5">
        <f>IFERROR(C11/$B$5,"")</f>
        <v/>
      </c>
      <c r="E11" t="n">
        <v>24.5</v>
      </c>
      <c r="F11" s="5">
        <f>IFERROR(E11/$B$5,"")</f>
        <v/>
      </c>
      <c r="G11" t="b">
        <v>0</v>
      </c>
      <c r="H11" t="n">
        <v>191</v>
      </c>
      <c r="I11" t="n">
        <v>10.4999</v>
      </c>
      <c r="J11" t="n">
        <v>10</v>
      </c>
      <c r="K11" t="n">
        <v>1500</v>
      </c>
      <c r="L11" t="n">
        <v>1500</v>
      </c>
      <c r="M11" t="n">
        <v>366</v>
      </c>
      <c r="N11" t="n">
        <v>0</v>
      </c>
      <c r="O11" t="n">
        <v>41</v>
      </c>
      <c r="P11" t="n">
        <v>0</v>
      </c>
      <c r="Q11" t="n">
        <v>0</v>
      </c>
      <c r="R11" t="n">
        <v>59</v>
      </c>
      <c r="S11" t="n">
        <v>91</v>
      </c>
      <c r="T11" t="n">
        <v>600</v>
      </c>
      <c r="U11" t="n">
        <v>4.2</v>
      </c>
      <c r="V11" t="n">
        <v>4.2</v>
      </c>
      <c r="W11" s="4" t="n">
        <v>0.12</v>
      </c>
      <c r="X11" t="n">
        <v>0.5</v>
      </c>
      <c r="Y11" t="n">
        <v>2.9</v>
      </c>
      <c r="AI11" s="4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X11" t="inlineStr">
        <is>
          <t>2026-10-22 14:02:22.920559</t>
        </is>
      </c>
      <c r="AY11" t="inlineStr">
        <is>
          <t>C:\Ugurcan\Experimental-Tasks\_projects\AuditoryEvidenceAccum\experiments\Stage1\setups\Stage1\sessions\20261022-140221\20261022-140221.csv</t>
        </is>
      </c>
      <c r="AZ11" t="inlineStr">
        <is>
          <t>C:\Ugurcan\Experimental-Tasks\_projects\AuditoryEvidenceAccum\experiments\Stage1\setups\Stage1\sessions\20261022-140221\20261022-140221_struct.mat</t>
        </is>
      </c>
    </row>
    <row r="12">
      <c r="A12" t="inlineStr">
        <is>
          <t>2026-10-27</t>
        </is>
      </c>
      <c r="B12" t="inlineStr">
        <is>
          <t>10:28</t>
        </is>
      </c>
      <c r="C12" t="n">
        <v>25.7</v>
      </c>
      <c r="D12" s="5">
        <f>IFERROR(C12/$B$5,"")</f>
        <v/>
      </c>
      <c r="E12" t="n">
        <v>26.3</v>
      </c>
      <c r="F12" s="5">
        <f>IFERROR(E12/$B$5,"")</f>
        <v/>
      </c>
      <c r="G12" t="b">
        <v>0</v>
      </c>
      <c r="H12" t="n">
        <v>221</v>
      </c>
      <c r="I12" t="n">
        <v>11.7722</v>
      </c>
      <c r="J12" t="n">
        <v>7</v>
      </c>
      <c r="K12" t="n">
        <v>1505</v>
      </c>
      <c r="L12" t="n">
        <v>1505</v>
      </c>
      <c r="M12" t="n">
        <v>103</v>
      </c>
      <c r="N12" t="n">
        <v>0</v>
      </c>
      <c r="O12" t="n">
        <v>6</v>
      </c>
      <c r="P12" t="n">
        <v>0</v>
      </c>
      <c r="Q12" t="n">
        <v>0</v>
      </c>
      <c r="R12" t="n">
        <v>111</v>
      </c>
      <c r="S12" t="n">
        <v>104</v>
      </c>
      <c r="T12" t="n">
        <v>1757</v>
      </c>
      <c r="U12" t="n">
        <v>4.9</v>
      </c>
      <c r="V12" t="n">
        <v>4.9</v>
      </c>
      <c r="W12" s="4" t="n">
        <v>0.14</v>
      </c>
      <c r="X12" t="n">
        <v>0.5</v>
      </c>
      <c r="Y12" t="n">
        <v>2.8</v>
      </c>
      <c r="AI12" s="4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X12" t="inlineStr">
        <is>
          <t>2026-10-27 10:28:44.823299</t>
        </is>
      </c>
      <c r="AY12" t="inlineStr">
        <is>
          <t>C:\Ugurcan\Experimental-Tasks\_projects\AuditoryEvidenceAccum\experiments\Stage1\setups\Stage1\sessions\20261027-102843\20261027-102843.csv</t>
        </is>
      </c>
      <c r="AZ12" t="inlineStr">
        <is>
          <t>C:\Ugurcan\Experimental-Tasks\_projects\AuditoryEvidenceAccum\experiments\Stage1\setups\Stage1\sessions\20261027-102843\20261027-102843_struct.mat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Animal: test_stage1</t>
        </is>
      </c>
    </row>
    <row r="2">
      <c r="A2" s="9" t="inlineStr">
        <is>
          <t>DOB</t>
        </is>
      </c>
    </row>
    <row r="3">
      <c r="A3" s="9" t="inlineStr">
        <is>
          <t>Sex</t>
        </is>
      </c>
    </row>
    <row r="4">
      <c r="A4" s="9" t="inlineStr">
        <is>
          <t>Strain</t>
        </is>
      </c>
    </row>
    <row r="5">
      <c r="A5" s="9" t="inlineStr">
        <is>
          <t>Baseline weight (g)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2026-08-12T09:14:40Z</dcterms:created>
  <dcterms:modified xsi:type="dcterms:W3CDTF">2026-10-28T10:44:03Z</dcterms:modified>
  <cp:lastModifiedBy>MUW</cp:lastModifiedBy>
</cp:coreProperties>
</file>