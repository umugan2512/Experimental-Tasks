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6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vertical="bottom" wrapText="1"/>
    </xf>
    <xf borderId="0" fillId="0" fontId="0" numFmtId="9" pivotButton="0" quotePrefix="0" xfId="0"/>
    <xf borderId="0" fillId="0" fontId="0" numFmtId="164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hidden="1" max="22" min="22" width="14"/>
    <col customWidth="1" max="23" min="23" width="14"/>
    <col customWidth="1" max="24" min="24" width="14"/>
  </cols>
  <sheetData>
    <row r="1">
      <c r="A1" s="1" t="inlineStr">
        <is>
          <t>Animal: test</t>
        </is>
      </c>
    </row>
    <row r="2">
      <c r="A2" s="2" t="inlineStr">
        <is>
          <t>DOB</t>
        </is>
      </c>
      <c r="B2" t="inlineStr">
        <is>
          <t>2025-01-15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Protocol / Stage</t>
        </is>
      </c>
      <c r="C7" s="3" t="inlineStr">
        <is>
          <t>Trials</t>
        </is>
      </c>
      <c r="D7" s="3" t="inlineStr">
        <is>
          <t>Duration (s)</t>
        </is>
      </c>
      <c r="E7" s="3" t="inlineStr">
        <is>
          <t>Rewards</t>
        </is>
      </c>
      <c r="F7" s="3" t="inlineStr">
        <is>
          <t>Withheld</t>
        </is>
      </c>
      <c r="G7" s="3" t="inlineStr">
        <is>
          <t>No-movement</t>
        </is>
      </c>
      <c r="H7" s="3" t="inlineStr">
        <is>
          <t>L turns</t>
        </is>
      </c>
      <c r="I7" s="3" t="inlineStr">
        <is>
          <t>R turns</t>
        </is>
      </c>
      <c r="J7" s="3" t="inlineStr">
        <is>
          <t>Licks</t>
        </is>
      </c>
      <c r="K7" s="3" t="inlineStr">
        <is>
          <t>Reward duration (s)</t>
        </is>
      </c>
      <c r="L7" s="3" t="inlineStr">
        <is>
          <t>Threshold start (deg)</t>
        </is>
      </c>
      <c r="M7" s="3" t="inlineStr">
        <is>
          <t>Threshold end (deg)</t>
        </is>
      </c>
      <c r="N7" s="3" t="inlineStr">
        <is>
          <t>Threshold end (% final)</t>
        </is>
      </c>
      <c r="O7" s="3" t="inlineStr">
        <is>
          <t>ITI (s)</t>
        </is>
      </c>
      <c r="P7" s="3" t="inlineStr">
        <is>
          <t>Gain mult (Stage 1)</t>
        </is>
      </c>
      <c r="Q7" s="3" t="inlineStr">
        <is>
          <t>Direction ratio (Stage 2)</t>
        </is>
      </c>
      <c r="R7" s="3" t="inlineStr">
        <is>
          <t>Simple gates met (Stage 2)</t>
        </is>
      </c>
      <c r="S7" s="3" t="inlineStr">
        <is>
          <t>Weight (g)</t>
        </is>
      </c>
      <c r="T7" s="3" t="inlineStr">
        <is>
          <t>Weight %</t>
        </is>
      </c>
      <c r="U7" s="3" t="inlineStr">
        <is>
          <t>Notes</t>
        </is>
      </c>
      <c r="V7" s="3" t="inlineStr">
        <is>
          <t>Session started</t>
        </is>
      </c>
      <c r="W7" s="3" t="inlineStr">
        <is>
          <t>Session data (local path)</t>
        </is>
      </c>
      <c r="X7" s="3" t="inlineStr">
        <is>
          <t>Session struct (local path)</t>
        </is>
      </c>
    </row>
    <row r="8">
      <c r="B8" t="inlineStr">
        <is>
          <t>stage2_threshold_staircase</t>
        </is>
      </c>
      <c r="C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</row>
    <row r="9">
      <c r="A9" t="inlineStr">
        <is>
          <t>2026-08-11</t>
        </is>
      </c>
      <c r="B9" t="inlineStr">
        <is>
          <t>stage1_wheel_shaping</t>
        </is>
      </c>
      <c r="C9" t="n">
        <v>15</v>
      </c>
      <c r="D9" t="n">
        <v>8.220500000000001</v>
      </c>
      <c r="E9" t="n">
        <v>15</v>
      </c>
      <c r="F9" t="n">
        <v>0</v>
      </c>
      <c r="G9" t="n">
        <v>0</v>
      </c>
      <c r="H9" t="n">
        <v>6</v>
      </c>
      <c r="I9" t="n">
        <v>9</v>
      </c>
      <c r="J9" t="n">
        <v>0</v>
      </c>
      <c r="K9" t="n">
        <v>0.1000000000000001</v>
      </c>
      <c r="L9" t="n">
        <v>7</v>
      </c>
      <c r="M9" t="n">
        <v>7</v>
      </c>
      <c r="N9" s="4" t="n">
        <v>0.2</v>
      </c>
      <c r="O9" t="n">
        <v>0.5</v>
      </c>
      <c r="P9" t="n">
        <v>2</v>
      </c>
    </row>
    <row r="10">
      <c r="A10" t="inlineStr">
        <is>
          <t>2026-08-11</t>
        </is>
      </c>
      <c r="B10" t="inlineStr">
        <is>
          <t>stage1_wheel_shaping</t>
        </is>
      </c>
      <c r="C10" t="n">
        <v>125</v>
      </c>
      <c r="D10" t="n">
        <v>10.4758</v>
      </c>
      <c r="E10" t="n">
        <v>123</v>
      </c>
      <c r="F10" t="n">
        <v>0</v>
      </c>
      <c r="G10" t="n">
        <v>2</v>
      </c>
      <c r="H10" t="n">
        <v>95</v>
      </c>
      <c r="I10" t="n">
        <v>29</v>
      </c>
      <c r="J10" t="n">
        <v>0</v>
      </c>
      <c r="K10" t="n">
        <v>0.09999999999999977</v>
      </c>
      <c r="L10" t="n">
        <v>7</v>
      </c>
      <c r="M10" t="n">
        <v>7</v>
      </c>
      <c r="N10" s="4" t="n">
        <v>0.2</v>
      </c>
      <c r="O10" t="n">
        <v>0.5</v>
      </c>
      <c r="P10" t="n">
        <v>2</v>
      </c>
    </row>
    <row r="11">
      <c r="A11" t="inlineStr">
        <is>
          <t>2026-08-11</t>
        </is>
      </c>
      <c r="B11" t="inlineStr">
        <is>
          <t>stage2_threshold_staircase</t>
        </is>
      </c>
      <c r="C11" t="n">
        <v>68</v>
      </c>
      <c r="D11" t="n">
        <v>6.3955</v>
      </c>
      <c r="E11" t="n">
        <v>68</v>
      </c>
      <c r="F11" t="n">
        <v>0</v>
      </c>
      <c r="G11" t="n">
        <v>0</v>
      </c>
      <c r="H11" t="n">
        <v>40</v>
      </c>
      <c r="I11" t="n">
        <v>28</v>
      </c>
      <c r="J11" t="n">
        <v>0</v>
      </c>
      <c r="K11" t="n">
        <v>0.09999999999999991</v>
      </c>
      <c r="L11" t="n">
        <v>7</v>
      </c>
      <c r="M11" t="n">
        <v>17.5</v>
      </c>
      <c r="N11" s="4" t="n">
        <v>0.5</v>
      </c>
      <c r="O11" t="n">
        <v>0.5</v>
      </c>
      <c r="Q11" t="n">
        <v>0.35</v>
      </c>
      <c r="R11" t="b">
        <v>0</v>
      </c>
    </row>
    <row r="12">
      <c r="A12" t="inlineStr">
        <is>
          <t>2026-08-11</t>
        </is>
      </c>
      <c r="B12" t="inlineStr">
        <is>
          <t>stage2_threshold_staircase</t>
        </is>
      </c>
      <c r="C12" t="n">
        <v>69</v>
      </c>
      <c r="D12" t="n">
        <v>10.4654</v>
      </c>
      <c r="E12" t="n">
        <v>34</v>
      </c>
      <c r="F12" t="n">
        <v>9</v>
      </c>
      <c r="G12" t="n">
        <v>26</v>
      </c>
      <c r="H12" t="n">
        <v>29</v>
      </c>
      <c r="I12" t="n">
        <v>14</v>
      </c>
      <c r="J12" t="n">
        <v>0</v>
      </c>
      <c r="K12" t="n">
        <v>0.1000000000000001</v>
      </c>
      <c r="L12" t="n">
        <v>7</v>
      </c>
      <c r="M12" t="n">
        <v>0</v>
      </c>
      <c r="N12" s="4" t="n">
        <v>0</v>
      </c>
      <c r="O12" t="n">
        <v>0.5</v>
      </c>
      <c r="Q12" t="n">
        <v>0.325</v>
      </c>
      <c r="R12" t="b">
        <v>0</v>
      </c>
    </row>
    <row r="13">
      <c r="A13" t="inlineStr">
        <is>
          <t>2026-08-11</t>
        </is>
      </c>
      <c r="B13" t="inlineStr">
        <is>
          <t>stage1_wheel_shaping</t>
        </is>
      </c>
      <c r="C13" t="n">
        <v>15</v>
      </c>
      <c r="D13" t="n">
        <v>8.220500000000001</v>
      </c>
      <c r="E13" t="n">
        <v>15</v>
      </c>
      <c r="F13" t="n">
        <v>0</v>
      </c>
      <c r="G13" t="n">
        <v>0</v>
      </c>
      <c r="H13" t="n">
        <v>6</v>
      </c>
      <c r="I13" t="n">
        <v>9</v>
      </c>
      <c r="J13" t="n">
        <v>0</v>
      </c>
      <c r="K13" t="n">
        <v>0.1000000000000001</v>
      </c>
      <c r="L13" t="n">
        <v>7</v>
      </c>
      <c r="M13" t="n">
        <v>7</v>
      </c>
      <c r="N13" s="4" t="n">
        <v>0.2</v>
      </c>
      <c r="O13" t="n">
        <v>0.5</v>
      </c>
      <c r="P13" t="n">
        <v>2</v>
      </c>
      <c r="S13" t="n">
        <v>22.5</v>
      </c>
      <c r="T13" s="5">
        <f>IFERROR(S13/$B$5,"")</f>
        <v/>
      </c>
      <c r="U13" t="inlineStr">
        <is>
          <t>handled by hand</t>
        </is>
      </c>
      <c r="V13" t="inlineStr">
        <is>
          <t>2026-08-11 13:41:46.605630</t>
        </is>
      </c>
      <c r="W13" t="inlineStr">
        <is>
          <t>C:\Users\2P-Behav\Documents\Experimental-Tasks\_projects\AuditoryEvidenceAccum\experiments\Training\setups\Stage1\sessions\20260811-134145\20260811-134145.csv</t>
        </is>
      </c>
    </row>
    <row r="14">
      <c r="A14" t="inlineStr">
        <is>
          <t>2026-08-11</t>
        </is>
      </c>
      <c r="B14" t="inlineStr">
        <is>
          <t>stage1_wheel_shaping</t>
        </is>
      </c>
      <c r="C14" t="n">
        <v>125</v>
      </c>
      <c r="D14" t="n">
        <v>10.4758</v>
      </c>
      <c r="E14" t="n">
        <v>123</v>
      </c>
      <c r="F14" t="n">
        <v>0</v>
      </c>
      <c r="G14" t="n">
        <v>2</v>
      </c>
      <c r="H14" t="n">
        <v>95</v>
      </c>
      <c r="I14" t="n">
        <v>29</v>
      </c>
      <c r="J14" t="n">
        <v>0</v>
      </c>
      <c r="K14" t="n">
        <v>0.09999999999999977</v>
      </c>
      <c r="L14" t="n">
        <v>7</v>
      </c>
      <c r="M14" t="n">
        <v>7</v>
      </c>
      <c r="N14" s="4" t="n">
        <v>0.2</v>
      </c>
      <c r="O14" t="n">
        <v>0.5</v>
      </c>
      <c r="P14" t="n">
        <v>2</v>
      </c>
      <c r="T14" s="5">
        <f>IFERROR(S14/$B$5,"")</f>
        <v/>
      </c>
      <c r="V14" t="inlineStr">
        <is>
          <t>2026-08-11 13:46:30.773972</t>
        </is>
      </c>
      <c r="W14" t="inlineStr">
        <is>
          <t>C:\Users\2P-Behav\Documents\Experimental-Tasks\_projects\AuditoryEvidenceAccum\experiments\Training\setups\Stage1\sessions\20260811-134630\20260811-134630.csv</t>
        </is>
      </c>
    </row>
    <row r="15">
      <c r="A15" t="inlineStr">
        <is>
          <t>2026-08-11</t>
        </is>
      </c>
      <c r="B15" t="inlineStr">
        <is>
          <t>stage2_threshold_staircase</t>
        </is>
      </c>
      <c r="C15" t="n">
        <v>68</v>
      </c>
      <c r="D15" t="n">
        <v>6.3955</v>
      </c>
      <c r="E15" t="n">
        <v>68</v>
      </c>
      <c r="F15" t="n">
        <v>0</v>
      </c>
      <c r="G15" t="n">
        <v>0</v>
      </c>
      <c r="H15" t="n">
        <v>40</v>
      </c>
      <c r="I15" t="n">
        <v>28</v>
      </c>
      <c r="J15" t="n">
        <v>0</v>
      </c>
      <c r="K15" t="n">
        <v>0.09999999999999991</v>
      </c>
      <c r="L15" t="n">
        <v>7</v>
      </c>
      <c r="M15" t="n">
        <v>17.5</v>
      </c>
      <c r="N15" s="4" t="n">
        <v>0.5</v>
      </c>
      <c r="O15" t="n">
        <v>0.5</v>
      </c>
      <c r="Q15" t="n">
        <v>0.35</v>
      </c>
      <c r="R15" t="b">
        <v>0</v>
      </c>
      <c r="T15" s="5">
        <f>IFERROR(S15/$B$5,"")</f>
        <v/>
      </c>
      <c r="V15" t="inlineStr">
        <is>
          <t>2026-08-11 13:51:34.028274</t>
        </is>
      </c>
      <c r="W15" t="inlineStr">
        <is>
          <t>C:\Users\2P-Behav\Documents\Experimental-Tasks\_projects\AuditoryEvidenceAccum\experiments\Training\setups\Stage2\sessions\20260811-135132\20260811-135132.csv</t>
        </is>
      </c>
    </row>
    <row r="16">
      <c r="A16" t="inlineStr">
        <is>
          <t>2026-08-11</t>
        </is>
      </c>
      <c r="B16" t="inlineStr">
        <is>
          <t>stage2_threshold_staircase</t>
        </is>
      </c>
      <c r="C16" t="n">
        <v>69</v>
      </c>
      <c r="D16" t="n">
        <v>10.4654</v>
      </c>
      <c r="E16" t="n">
        <v>34</v>
      </c>
      <c r="F16" t="n">
        <v>9</v>
      </c>
      <c r="G16" t="n">
        <v>26</v>
      </c>
      <c r="H16" t="n">
        <v>29</v>
      </c>
      <c r="I16" t="n">
        <v>14</v>
      </c>
      <c r="J16" t="n">
        <v>0</v>
      </c>
      <c r="K16" t="n">
        <v>0.1000000000000001</v>
      </c>
      <c r="L16" t="n">
        <v>7</v>
      </c>
      <c r="M16" t="n">
        <v>0</v>
      </c>
      <c r="N16" s="4" t="n">
        <v>0</v>
      </c>
      <c r="O16" t="n">
        <v>0.5</v>
      </c>
      <c r="Q16" t="n">
        <v>0.325</v>
      </c>
      <c r="R16" t="b">
        <v>0</v>
      </c>
      <c r="T16" s="5">
        <f>IFERROR(S16/$B$5,"")</f>
        <v/>
      </c>
      <c r="V16" t="inlineStr">
        <is>
          <t>2026-08-11 13:53:54.632954</t>
        </is>
      </c>
      <c r="W16" t="inlineStr">
        <is>
          <t>C:\Users\2P-Behav\Documents\Experimental-Tasks\_projects\AuditoryEvidenceAccum\experiments\Training\setups\Stage2\sessions\20260811-135354\20260811-135354.csv</t>
        </is>
      </c>
      <c r="X16" t="inlineStr">
        <is>
          <t>C:\Users\2P-Behav\Documents\Experimental-Tasks\_projects\AuditoryEvidenceAccum\experiments\Training\setups\Stage2\sessions\20260811-135354\20260811-135354_struct.mat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2026-08-12T10:38:36Z</dcterms:modified>
</cp:coreProperties>
</file>