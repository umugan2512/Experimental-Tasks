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te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formatCode="0.0%" numFmtId="164"/>
  </numFmts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8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applyAlignment="1" borderId="0" fillId="0" fontId="2" numFmtId="0" pivotButton="0" quotePrefix="0" xfId="0">
      <alignment vertical="bottom" wrapText="1"/>
    </xf>
    <xf borderId="0" fillId="0" fontId="0" numFmtId="9" pivotButton="0" quotePrefix="0" xfId="0"/>
    <xf borderId="0" fillId="0" fontId="0" numFmtId="164" pivotButton="0" quotePrefix="0" xfId="0"/>
    <xf borderId="0" fillId="2" fontId="3" numFmtId="0" pivotButton="0" quotePrefix="0" xfId="0"/>
    <xf borderId="0" fillId="2" fontId="0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4"/>
  <sheetViews>
    <sheetView workbookViewId="0">
      <pane activePane="bottomLeft" state="frozen" topLeftCell="A8" ySplit="7"/>
      <selection activeCell="A1" pane="bottomLeft" sqref="A1"/>
    </sheetView>
  </sheetViews>
  <sheetFormatPr baseColWidth="8" defaultRowHeight="15"/>
  <cols>
    <col customWidth="1" max="1" min="1" width="14"/>
    <col customWidth="1" max="2" min="2" width="14"/>
    <col customWidth="1" max="3" min="3" width="14"/>
    <col customWidth="1" max="4" min="4" width="14"/>
    <col customWidth="1" max="5" min="5" width="14"/>
    <col customWidth="1" max="6" min="6" width="14"/>
    <col customWidth="1" max="7" min="7" width="14"/>
    <col customWidth="1" max="8" min="8" width="14"/>
    <col customWidth="1" max="9" min="9" width="14"/>
    <col customWidth="1" max="10" min="10" width="14"/>
    <col customWidth="1" max="11" min="11" width="14"/>
    <col customWidth="1" max="12" min="12" width="14"/>
    <col customWidth="1" max="13" min="13" width="14"/>
    <col customWidth="1" max="14" min="14" width="14"/>
    <col customWidth="1" max="15" min="15" width="14"/>
    <col customWidth="1" max="16" min="16" width="14"/>
    <col customWidth="1" max="17" min="17" width="14"/>
    <col customWidth="1" max="18" min="18" width="14"/>
    <col customWidth="1" max="19" min="19" width="14"/>
    <col customWidth="1" max="20" min="20" width="14"/>
    <col customWidth="1" max="21" min="21" width="14"/>
    <col customWidth="1" hidden="1" max="22" min="22" width="14"/>
    <col customWidth="1" max="23" min="23" width="14"/>
    <col customWidth="1" max="24" min="24" width="14"/>
    <col customWidth="1" max="25" min="25" width="14"/>
    <col customWidth="1" max="26" min="26" width="14"/>
    <col customWidth="1" max="27" min="27" width="14"/>
    <col customWidth="1" max="28" min="28" width="14"/>
  </cols>
  <sheetData>
    <row r="1">
      <c r="A1" s="1" t="inlineStr">
        <is>
          <t>Animal: test</t>
        </is>
      </c>
    </row>
    <row r="2">
      <c r="A2" s="2" t="inlineStr">
        <is>
          <t>DOB</t>
        </is>
      </c>
      <c r="B2" t="inlineStr">
        <is>
          <t>2025-01-15</t>
        </is>
      </c>
    </row>
    <row r="3">
      <c r="A3" s="2" t="inlineStr">
        <is>
          <t>Sex</t>
        </is>
      </c>
    </row>
    <row r="4">
      <c r="A4" s="2" t="inlineStr">
        <is>
          <t>Strain</t>
        </is>
      </c>
    </row>
    <row r="5">
      <c r="A5" s="2" t="inlineStr">
        <is>
          <t>Baseline weight (g)</t>
        </is>
      </c>
    </row>
    <row r="7">
      <c r="A7" s="3" t="inlineStr">
        <is>
          <t>Date</t>
        </is>
      </c>
      <c r="B7" s="3" t="inlineStr">
        <is>
          <t>Protocol / Stage</t>
        </is>
      </c>
      <c r="C7" s="3" t="inlineStr">
        <is>
          <t>Trials</t>
        </is>
      </c>
      <c r="D7" s="3" t="inlineStr">
        <is>
          <t>Duration (s)</t>
        </is>
      </c>
      <c r="E7" s="3" t="inlineStr">
        <is>
          <t>Rewards</t>
        </is>
      </c>
      <c r="F7" s="3" t="inlineStr">
        <is>
          <t>Withheld</t>
        </is>
      </c>
      <c r="G7" s="3" t="inlineStr">
        <is>
          <t>No-movement</t>
        </is>
      </c>
      <c r="H7" s="3" t="inlineStr">
        <is>
          <t>L turns</t>
        </is>
      </c>
      <c r="I7" s="3" t="inlineStr">
        <is>
          <t>R turns</t>
        </is>
      </c>
      <c r="J7" s="3" t="inlineStr">
        <is>
          <t>Licks</t>
        </is>
      </c>
      <c r="K7" s="3" t="inlineStr">
        <is>
          <t>Reward duration (s)</t>
        </is>
      </c>
      <c r="L7" s="3" t="inlineStr">
        <is>
          <t>Threshold start (deg)</t>
        </is>
      </c>
      <c r="M7" s="3" t="inlineStr">
        <is>
          <t>Threshold end (deg)</t>
        </is>
      </c>
      <c r="N7" s="3" t="inlineStr">
        <is>
          <t>Threshold end (% final)</t>
        </is>
      </c>
      <c r="O7" s="3" t="inlineStr">
        <is>
          <t>ITI (s)</t>
        </is>
      </c>
      <c r="P7" s="3" t="inlineStr">
        <is>
          <t>Gain mult (Stage 1)</t>
        </is>
      </c>
      <c r="Q7" s="3" t="inlineStr">
        <is>
          <t>Direction ratio (Stage 2)</t>
        </is>
      </c>
      <c r="R7" s="3" t="inlineStr">
        <is>
          <t>Simple gates met (Stage 2)</t>
        </is>
      </c>
      <c r="S7" s="3" t="inlineStr">
        <is>
          <t>Weight (g)</t>
        </is>
      </c>
      <c r="T7" s="3" t="inlineStr">
        <is>
          <t>Weight %</t>
        </is>
      </c>
      <c r="U7" s="3" t="inlineStr">
        <is>
          <t>Notes</t>
        </is>
      </c>
      <c r="V7" s="3" t="inlineStr">
        <is>
          <t>Session started</t>
        </is>
      </c>
      <c r="W7" s="3" t="inlineStr">
        <is>
          <t>Session data (local path)</t>
        </is>
      </c>
      <c r="X7" s="3" t="inlineStr">
        <is>
          <t>Session struct (local path)</t>
        </is>
      </c>
      <c r="Y7" s="3" t="inlineStr">
        <is>
          <t>Num. Sessions</t>
        </is>
      </c>
      <c r="Z7" s="3" t="inlineStr">
        <is>
          <t>Reward Amount (uL)</t>
        </is>
      </c>
      <c r="AA7" s="3" t="inlineStr">
        <is>
          <t>Total Volume (uL)</t>
        </is>
      </c>
      <c r="AB7" s="3" t="inlineStr">
        <is>
          <t>Aborts</t>
        </is>
      </c>
    </row>
    <row r="8">
      <c r="A8" s="6" t="inlineStr">
        <is>
          <t>Stage 1</t>
        </is>
      </c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7" t="n"/>
      <c r="Y8" s="7" t="n"/>
      <c r="Z8" s="7" t="n"/>
    </row>
    <row r="9">
      <c r="A9" t="inlineStr">
        <is>
          <t>2026-08-11</t>
        </is>
      </c>
      <c r="B9" t="inlineStr">
        <is>
          <t>stage1_wheel_shaping</t>
        </is>
      </c>
      <c r="C9" t="n">
        <v>15</v>
      </c>
      <c r="D9" t="n">
        <v>8.220500000000001</v>
      </c>
      <c r="F9" t="n">
        <v>0</v>
      </c>
      <c r="G9" t="n">
        <v>0</v>
      </c>
      <c r="H9" t="n">
        <v>6</v>
      </c>
      <c r="I9" t="n">
        <v>9</v>
      </c>
      <c r="J9" t="n">
        <v>0</v>
      </c>
      <c r="L9" t="n">
        <v>7</v>
      </c>
      <c r="M9" t="n">
        <v>7</v>
      </c>
      <c r="N9" s="4" t="n">
        <v>0.2</v>
      </c>
      <c r="O9" t="n">
        <v>0.5</v>
      </c>
      <c r="P9" t="n">
        <v>2</v>
      </c>
      <c r="S9" t="n">
        <v>22.5</v>
      </c>
      <c r="T9" s="5">
        <f>IFERROR(S9/$B$5,"")</f>
        <v/>
      </c>
      <c r="U9" t="inlineStr">
        <is>
          <t>handled by hand</t>
        </is>
      </c>
      <c r="V9" t="inlineStr">
        <is>
          <t>2026-08-11 13:41:46.605630</t>
        </is>
      </c>
      <c r="W9" t="inlineStr">
        <is>
          <t>C:\Users\2P-Behav\Documents\Experimental-Tasks\_projects\AuditoryEvidenceAccum\experiments\Training\setups\Stage1\sessions\20260811-134145\20260811-134145.csv</t>
        </is>
      </c>
      <c r="Y9" t="n">
        <v>1</v>
      </c>
      <c r="AB9" t="n">
        <v>0</v>
      </c>
    </row>
    <row r="10">
      <c r="A10" t="inlineStr">
        <is>
          <t>2026-08-11</t>
        </is>
      </c>
      <c r="B10" t="inlineStr">
        <is>
          <t>stage1_wheel_shaping</t>
        </is>
      </c>
      <c r="C10" t="n">
        <v>125</v>
      </c>
      <c r="D10" t="n">
        <v>10.4758</v>
      </c>
      <c r="F10" t="n">
        <v>0</v>
      </c>
      <c r="G10" t="n">
        <v>2</v>
      </c>
      <c r="H10" t="n">
        <v>95</v>
      </c>
      <c r="I10" t="n">
        <v>29</v>
      </c>
      <c r="J10" t="n">
        <v>0</v>
      </c>
      <c r="L10" t="n">
        <v>7</v>
      </c>
      <c r="M10" t="n">
        <v>7</v>
      </c>
      <c r="N10" s="4" t="n">
        <v>0.2</v>
      </c>
      <c r="O10" t="n">
        <v>0.5</v>
      </c>
      <c r="P10" t="n">
        <v>2</v>
      </c>
      <c r="T10" s="5">
        <f>IFERROR(S10/$B$5,"")</f>
        <v/>
      </c>
      <c r="V10" t="inlineStr">
        <is>
          <t>2026-08-11 13:46:30.773972</t>
        </is>
      </c>
      <c r="W10" t="inlineStr">
        <is>
          <t>C:\Users\2P-Behav\Documents\Experimental-Tasks\_projects\AuditoryEvidenceAccum\experiments\Training\setups\Stage1\sessions\20260811-134630\20260811-134630.csv</t>
        </is>
      </c>
      <c r="Y10" t="n">
        <v>1</v>
      </c>
      <c r="AB10" t="n">
        <v>0</v>
      </c>
    </row>
    <row r="11">
      <c r="A11" s="6" t="inlineStr">
        <is>
          <t>Stage 2</t>
        </is>
      </c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n"/>
      <c r="Z11" s="7" t="n"/>
    </row>
    <row r="12">
      <c r="A12" t="inlineStr"/>
      <c r="B12" t="inlineStr">
        <is>
          <t>stage2_threshold_staircase</t>
        </is>
      </c>
      <c r="C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T12" s="5">
        <f>IFERROR(S12/$B$5,"")</f>
        <v/>
      </c>
      <c r="V12" t="inlineStr"/>
      <c r="W12" t="inlineStr">
        <is>
          <t>C:\Users\2P-Behav\Documents\Experimental-Tasks\_projects\AuditoryEvidenceAccum\experiments\Training\setups\Stage2\sessions\20260811-135342\20260811-135342.csv</t>
        </is>
      </c>
      <c r="Y12" t="n">
        <v>1</v>
      </c>
      <c r="AB12" t="n">
        <v>0</v>
      </c>
    </row>
    <row r="13">
      <c r="A13" t="inlineStr">
        <is>
          <t>2026-08-11</t>
        </is>
      </c>
      <c r="B13" t="inlineStr">
        <is>
          <t>stage2_threshold_staircase</t>
        </is>
      </c>
      <c r="C13" t="n">
        <v>68</v>
      </c>
      <c r="D13" t="n">
        <v>6.3955</v>
      </c>
      <c r="F13" t="n">
        <v>0</v>
      </c>
      <c r="G13" t="n">
        <v>0</v>
      </c>
      <c r="H13" t="n">
        <v>40</v>
      </c>
      <c r="I13" t="n">
        <v>28</v>
      </c>
      <c r="J13" t="n">
        <v>0</v>
      </c>
      <c r="L13" t="n">
        <v>7</v>
      </c>
      <c r="M13" t="n">
        <v>17.5</v>
      </c>
      <c r="N13" s="4" t="n">
        <v>0.5</v>
      </c>
      <c r="O13" t="n">
        <v>0.5</v>
      </c>
      <c r="Q13" t="n">
        <v>0.35</v>
      </c>
      <c r="R13" t="b">
        <v>0</v>
      </c>
      <c r="T13" s="5">
        <f>IFERROR(S13/$B$5,"")</f>
        <v/>
      </c>
      <c r="V13" t="inlineStr">
        <is>
          <t>2026-08-11 13:51:34.028274</t>
        </is>
      </c>
      <c r="W13" t="inlineStr">
        <is>
          <t>C:\Users\2P-Behav\Documents\Experimental-Tasks\_projects\AuditoryEvidenceAccum\experiments\Training\setups\Stage2\sessions\20260811-135132\20260811-135132.csv</t>
        </is>
      </c>
      <c r="Y13" t="n">
        <v>1</v>
      </c>
      <c r="AB13" t="n">
        <v>0</v>
      </c>
    </row>
    <row r="14">
      <c r="A14" t="inlineStr">
        <is>
          <t>2026-08-11</t>
        </is>
      </c>
      <c r="B14" t="inlineStr">
        <is>
          <t>stage2_threshold_staircase</t>
        </is>
      </c>
      <c r="C14" t="n">
        <v>69</v>
      </c>
      <c r="D14" t="n">
        <v>10.4654</v>
      </c>
      <c r="F14" t="n">
        <v>9</v>
      </c>
      <c r="G14" t="n">
        <v>26</v>
      </c>
      <c r="H14" t="n">
        <v>29</v>
      </c>
      <c r="I14" t="n">
        <v>14</v>
      </c>
      <c r="J14" t="n">
        <v>0</v>
      </c>
      <c r="L14" t="n">
        <v>7</v>
      </c>
      <c r="M14" t="n">
        <v>0</v>
      </c>
      <c r="N14" s="4" t="n">
        <v>0</v>
      </c>
      <c r="O14" t="n">
        <v>0.5</v>
      </c>
      <c r="Q14" t="n">
        <v>0.325</v>
      </c>
      <c r="R14" t="b">
        <v>0</v>
      </c>
      <c r="T14" s="5">
        <f>IFERROR(S14/$B$5,"")</f>
        <v/>
      </c>
      <c r="V14" t="inlineStr">
        <is>
          <t>2026-08-11 13:53:54.632954</t>
        </is>
      </c>
      <c r="W14" t="inlineStr">
        <is>
          <t>C:\Users\2P-Behav\Documents\Experimental-Tasks\_projects\AuditoryEvidenceAccum\experiments\Training\setups\Stage2\sessions\20260811-135354\20260811-135354.csv</t>
        </is>
      </c>
      <c r="Y14" t="n">
        <v>1</v>
      </c>
      <c r="AB14" t="n">
        <v>0</v>
      </c>
    </row>
  </sheetData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2026-08-12T09:14:40Z</dcterms:created>
  <dcterms:modified xsi:type="dcterms:W3CDTF">2026-08-12T14:15:54Z</dcterms:modified>
</cp:coreProperties>
</file>